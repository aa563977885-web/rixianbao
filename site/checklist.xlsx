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right" vertical="center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right" vertical="center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R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4" customWidth="1" min="2" max="2"/>
    <col width="12" customWidth="1" min="3" max="3"/>
    <col width="11" customWidth="1" min="4" max="4"/>
    <col width="11" customWidth="1" min="5" max="5"/>
    <col width="12" customWidth="1" min="6" max="6"/>
    <col width="9" customWidth="1" min="7" max="7"/>
    <col width="10" customWidth="1" min="8" max="8"/>
    <col width="12" customWidth="1" min="9" max="9"/>
    <col width="10" customWidth="1" min="10" max="10"/>
    <col width="12" customWidth="1" min="11" max="11"/>
    <col width="12" customWidth="1" min="12" max="12"/>
    <col width="9" customWidth="1" min="13" max="13"/>
    <col width="10" customWidth="1" min="14" max="14"/>
    <col width="12" customWidth="1" min="15" max="15"/>
    <col width="12" customWidth="1" min="16" max="16"/>
    <col width="12" customWidth="1" min="17" max="17"/>
    <col width="40" customWidth="1" min="18" max="18"/>
  </cols>
  <sheetData>
    <row r="2" ht="28" customHeight="1">
      <c r="B2" s="1" t="inlineStr">
        <is>
          <t>待核价清单（2026-10-09 02:50 生成 · 线报站自动导出）</t>
        </is>
      </c>
    </row>
    <row r="4" ht="28" customHeight="1">
      <c r="B4" s="2" t="inlineStr">
        <is>
          <t>候选品</t>
        </is>
      </c>
      <c r="C4" s="2" t="inlineStr">
        <is>
          <t>试销日期</t>
        </is>
      </c>
      <c r="D4" s="2" t="inlineStr">
        <is>
          <t>货源价(元)</t>
        </is>
      </c>
      <c r="E4" s="2" t="inlineStr">
        <is>
          <t>得物核价(元)</t>
        </is>
      </c>
      <c r="F4" s="2" t="inlineStr">
        <is>
          <t>核价后价差率</t>
        </is>
      </c>
      <c r="G4" s="2" t="inlineStr">
        <is>
          <t>试销件数</t>
        </is>
      </c>
      <c r="H4" s="2" t="inlineStr">
        <is>
          <t>已卖出件数</t>
        </is>
      </c>
      <c r="I4" s="2" t="inlineStr">
        <is>
          <t>卖出均价(元)</t>
        </is>
      </c>
      <c r="J4" s="2" t="inlineStr">
        <is>
          <t>平台费率</t>
        </is>
      </c>
      <c r="K4" s="2" t="inlineStr">
        <is>
          <t>快递费(元/件)</t>
        </is>
      </c>
      <c r="L4" s="2" t="inlineStr">
        <is>
          <t>单均净利(元)</t>
        </is>
      </c>
      <c r="M4" s="2" t="inlineStr">
        <is>
          <t>满3单？</t>
        </is>
      </c>
      <c r="N4" s="2" t="inlineStr">
        <is>
          <t>加仓决策</t>
        </is>
      </c>
      <c r="O4" s="2" t="inlineStr">
        <is>
          <t>得物价参考</t>
        </is>
      </c>
      <c r="P4" s="2" t="inlineStr">
        <is>
          <t>参考净利(元)</t>
        </is>
      </c>
      <c r="Q4" s="2" t="inlineStr">
        <is>
          <t>标签</t>
        </is>
      </c>
      <c r="R4" s="2" t="inlineStr">
        <is>
          <t>门道链接</t>
        </is>
      </c>
    </row>
    <row r="5" ht="22" customHeight="1">
      <c r="B5" s="3" t="inlineStr">
        <is>
          <t>Nike Zoom Kobe 5 Protro Dodgers 舒适贴合 支撑 低帮 篮球鞋 男款 蓝色</t>
        </is>
      </c>
      <c r="C5" s="4" t="n"/>
      <c r="D5" s="5" t="n">
        <v>1399</v>
      </c>
      <c r="E5" s="5" t="n"/>
      <c r="F5" s="6">
        <f>IFERROR(IF(OR(D5="",E5=""),"",(E5-D5)/D5),"")</f>
        <v/>
      </c>
      <c r="G5" s="4" t="n"/>
      <c r="H5" s="4" t="n"/>
      <c r="I5" s="5" t="n"/>
      <c r="J5" s="6" t="n">
        <v>0.05</v>
      </c>
      <c r="K5" s="5" t="n">
        <v>3</v>
      </c>
      <c r="L5" s="5">
        <f>IF(OR(D5="",I5=""),"",I5*(1-J5)-D5-K5)</f>
        <v/>
      </c>
      <c r="M5" s="4">
        <f>IF(H5="","",IF(H5&gt;=3,"是","否"))</f>
        <v/>
      </c>
      <c r="N5" s="4">
        <f>IF(OR(D5="",E5=""),"",IF(F5&lt;0.15,"放弃",IF(AND(H5&gt;=3,L5&gt;=25),"加仓","观察")))</f>
        <v/>
      </c>
      <c r="O5" s="5" t="n">
        <v>1910.1</v>
      </c>
      <c r="P5" s="5" t="n">
        <v>247.79</v>
      </c>
      <c r="Q5" s="3" t="inlineStr">
        <is>
          <t>冷门优选</t>
        </is>
      </c>
      <c r="R5" s="3" t="inlineStr">
        <is>
          <t>https://deal.mendaoapp.com/page/carry-referee?carryId=12213547</t>
        </is>
      </c>
    </row>
    <row r="6" ht="22" customHeight="1">
      <c r="B6" s="7" t="inlineStr">
        <is>
          <t>始祖鸟 GRANVILLE 10L 斜挎包</t>
        </is>
      </c>
      <c r="C6" s="8" t="n"/>
      <c r="D6" s="9" t="n">
        <v>1349</v>
      </c>
      <c r="E6" s="9" t="n"/>
      <c r="F6" s="10">
        <f>IFERROR(IF(OR(D6="",E6=""),"",(E6-D6)/D6),"")</f>
        <v/>
      </c>
      <c r="G6" s="8" t="n"/>
      <c r="H6" s="8" t="n"/>
      <c r="I6" s="9" t="n"/>
      <c r="J6" s="10" t="n">
        <v>0.05</v>
      </c>
      <c r="K6" s="9" t="n">
        <v>3</v>
      </c>
      <c r="L6" s="9">
        <f>IF(OR(D6="",I6=""),"",I6*(1-J6)-D6-K6)</f>
        <v/>
      </c>
      <c r="M6" s="8">
        <f>IF(H6="","",IF(H6&gt;=3,"是","否"))</f>
        <v/>
      </c>
      <c r="N6" s="8">
        <f>IF(OR(D6="",E6=""),"",IF(F6&lt;0.15,"放弃",IF(AND(H6&gt;=3,L6&gt;=25),"加仓","观察")))</f>
        <v/>
      </c>
      <c r="O6" s="9" t="n">
        <v>1851.5</v>
      </c>
      <c r="P6" s="9" t="n">
        <v>283.84</v>
      </c>
      <c r="Q6" s="7" t="inlineStr">
        <is>
          <t>可蹲</t>
        </is>
      </c>
      <c r="R6" s="7" t="inlineStr">
        <is>
          <t>https://deal.mendaoapp.com/page/carry-referee?carryId=11610567</t>
        </is>
      </c>
    </row>
    <row r="7" ht="22" customHeight="1">
      <c r="B7" s="3" t="inlineStr">
        <is>
          <t>PUMA Caven 2.0 小白鞋</t>
        </is>
      </c>
      <c r="C7" s="4" t="n"/>
      <c r="D7" s="5" t="n">
        <v>170</v>
      </c>
      <c r="E7" s="5" t="n"/>
      <c r="F7" s="6">
        <f>IFERROR(IF(OR(D7="",E7=""),"",(E7-D7)/D7),"")</f>
        <v/>
      </c>
      <c r="G7" s="4" t="n"/>
      <c r="H7" s="4" t="n"/>
      <c r="I7" s="5" t="n"/>
      <c r="J7" s="6" t="n">
        <v>0.05</v>
      </c>
      <c r="K7" s="5" t="n">
        <v>3</v>
      </c>
      <c r="L7" s="5">
        <f>IF(OR(D7="",I7=""),"",I7*(1-J7)-D7-K7)</f>
        <v/>
      </c>
      <c r="M7" s="4">
        <f>IF(H7="","",IF(H7&gt;=3,"是","否"))</f>
        <v/>
      </c>
      <c r="N7" s="4">
        <f>IF(OR(D7="",E7=""),"",IF(F7&lt;0.15,"放弃",IF(AND(H7&gt;=3,L7&gt;=25),"加仓","观察")))</f>
        <v/>
      </c>
      <c r="O7" s="5" t="n">
        <v>274.2</v>
      </c>
      <c r="P7" s="5" t="n">
        <v>53.55</v>
      </c>
      <c r="Q7" s="3" t="inlineStr">
        <is>
          <t>可蹲</t>
        </is>
      </c>
      <c r="R7" s="3" t="inlineStr">
        <is>
          <t>https://deal.mendaoapp.com/page/carry-referee?carryId=11611203</t>
        </is>
      </c>
    </row>
    <row r="9" ht="30" customHeight="1">
      <c r="B9" s="11" t="inlineStr">
        <is>
          <t>用法：得物App核价填E列 -&gt; 买1-2件 -&gt; 卖出后补G/H/I列；「加仓」条件=价差率≥15%且满3单且单均净利≥25元，公式自动判定。D列货源价来自门道到手价，下单前自行复核。</t>
        </is>
      </c>
    </row>
  </sheetData>
  <mergeCells count="2">
    <mergeCell ref="B2:R2"/>
    <mergeCell ref="B9:R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2026-10-08T18:50:03Z</dcterms:created>
  <dcterms:modified xsi:type="dcterms:W3CDTF">2026-10-08T18:50:03Z</dcterms:modified>
</cp:coreProperties>
</file>