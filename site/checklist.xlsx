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销追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color rgb="0037352F"/>
      <sz val="11"/>
    </font>
    <font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wrapText="1"/>
    </xf>
    <xf numFmtId="4" fontId="3" fillId="3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4" fontId="3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9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  <col width="9" customWidth="1" min="15" max="15"/>
    <col width="10" customWidth="1" min="16" max="16"/>
    <col width="12" customWidth="1" min="17" max="17"/>
    <col width="12" customWidth="1" min="18" max="18"/>
    <col width="14" customWidth="1" min="19" max="19"/>
    <col width="36" customWidth="1" min="20" max="20"/>
    <col width="42" customWidth="1" min="21" max="21"/>
  </cols>
  <sheetData>
    <row r="2" ht="28" customHeight="1">
      <c r="B2" s="1" t="inlineStr">
        <is>
          <t>待核价清单（2026-10-19 06:18 生成 · 线报站自动导出）</t>
        </is>
      </c>
    </row>
    <row r="4" ht="28" customHeight="1">
      <c r="B4" s="2" t="inlineStr">
        <is>
          <t>ID</t>
        </is>
      </c>
      <c r="C4" s="2" t="inlineStr">
        <is>
          <t>候选品</t>
        </is>
      </c>
      <c r="D4" s="2" t="inlineStr">
        <is>
          <t>试销日期</t>
        </is>
      </c>
      <c r="E4" s="2" t="inlineStr">
        <is>
          <t>购入日期</t>
        </is>
      </c>
      <c r="F4" s="2" t="inlineStr">
        <is>
          <t>货源价(元)</t>
        </is>
      </c>
      <c r="G4" s="2" t="inlineStr">
        <is>
          <t>得物核价(元)</t>
        </is>
      </c>
      <c r="H4" s="2" t="inlineStr">
        <is>
          <t>核价后价差率</t>
        </is>
      </c>
      <c r="I4" s="2" t="inlineStr">
        <is>
          <t>试销件数</t>
        </is>
      </c>
      <c r="J4" s="2" t="inlineStr">
        <is>
          <t>已卖出件数</t>
        </is>
      </c>
      <c r="K4" s="2" t="inlineStr">
        <is>
          <t>卖出均价(元)</t>
        </is>
      </c>
      <c r="L4" s="2" t="inlineStr">
        <is>
          <t>平台费率</t>
        </is>
      </c>
      <c r="M4" s="2" t="inlineStr">
        <is>
          <t>快递费(元/件)</t>
        </is>
      </c>
      <c r="N4" s="2" t="inlineStr">
        <is>
          <t>单均净利(元)</t>
        </is>
      </c>
      <c r="O4" s="2" t="inlineStr">
        <is>
          <t>满3单？</t>
        </is>
      </c>
      <c r="P4" s="2" t="inlineStr">
        <is>
          <t>加仓决策</t>
        </is>
      </c>
      <c r="Q4" s="2" t="inlineStr">
        <is>
          <t>得物价参考</t>
        </is>
      </c>
      <c r="R4" s="2" t="inlineStr">
        <is>
          <t>预估净利(元)</t>
        </is>
      </c>
      <c r="S4" s="2" t="inlineStr">
        <is>
          <t>标签</t>
        </is>
      </c>
      <c r="T4" s="2" t="inlineStr">
        <is>
          <t>货源链接</t>
        </is>
      </c>
      <c r="U4" s="2" t="inlineStr">
        <is>
          <t>得物分享链接</t>
        </is>
      </c>
    </row>
    <row r="5" ht="22" customHeight="1">
      <c r="B5" s="3" t="inlineStr">
        <is>
          <t>jd-MOQsWh2qbaweFyODu3mAeFyODu3mAQ_3UIh1p4mYDh91P3O0U</t>
        </is>
      </c>
      <c r="C5" s="4" t="inlineStr">
        <is>
          <t>林清轩面霜山茶花50ml清爽保湿干皮好吸收锁水送女友节日礼物 滋养面霜50g</t>
        </is>
      </c>
      <c r="D5" s="3" t="n"/>
      <c r="E5" s="3" t="n"/>
      <c r="F5" s="5" t="n">
        <v>12</v>
      </c>
      <c r="G5" s="5" t="n"/>
      <c r="H5" s="6">
        <f>IFERROR(IF(OR(F5="",G5=""),"",(G5-F5)/F5),"")</f>
        <v/>
      </c>
      <c r="I5" s="3" t="n"/>
      <c r="J5" s="3" t="n"/>
      <c r="K5" s="5" t="n"/>
      <c r="L5" s="6" t="n">
        <v>0.05</v>
      </c>
      <c r="M5" s="5" t="n">
        <v>3</v>
      </c>
      <c r="N5" s="5">
        <f>IF(OR(F5="",K5=""),"",K5*(1-L5)-F5-M5)</f>
        <v/>
      </c>
      <c r="O5" s="3">
        <f>IF(J5="","",IF(J5&gt;=3,"是","否"))</f>
        <v/>
      </c>
      <c r="P5" s="3">
        <f>IF(OR(F5="",G5=""),"",IF(H5&lt;0.15,"放弃",IF(AND(J5&gt;=3,N5&gt;=25),"加仓","观察")))</f>
        <v/>
      </c>
      <c r="Q5" s="5" t="n"/>
      <c r="R5" s="5" t="n"/>
      <c r="S5" s="4" t="inlineStr">
        <is>
          <t>待核价</t>
        </is>
      </c>
      <c r="T5" s="4" t="inlineStr"/>
      <c r="U5" s="3" t="inlineStr">
        <is>
          <t>← App搜同款·分享·复制链接粘这里</t>
        </is>
      </c>
    </row>
    <row r="6" ht="22" customHeight="1">
      <c r="B6" s="7" t="inlineStr">
        <is>
          <t>jd-wAQEbTBH1PTwDjlS1ZkowDjlS1ZkoQ_3ioMtB1s3UEDhvicGX</t>
        </is>
      </c>
      <c r="C6" s="8" t="inlineStr">
        <is>
          <t>理肤泉【孙颖莎推荐】B5面膜PRO+ 10片套装修护补水保湿男士女士护肤品</t>
        </is>
      </c>
      <c r="D6" s="7" t="n"/>
      <c r="E6" s="7" t="n"/>
      <c r="F6" s="9" t="n">
        <v>238</v>
      </c>
      <c r="G6" s="9" t="n"/>
      <c r="H6" s="10">
        <f>IFERROR(IF(OR(F6="",G6=""),"",(G6-F6)/F6),"")</f>
        <v/>
      </c>
      <c r="I6" s="7" t="n"/>
      <c r="J6" s="7" t="n"/>
      <c r="K6" s="9" t="n"/>
      <c r="L6" s="10" t="n">
        <v>0.05</v>
      </c>
      <c r="M6" s="9" t="n">
        <v>3</v>
      </c>
      <c r="N6" s="9">
        <f>IF(OR(F6="",K6=""),"",K6*(1-L6)-F6-M6)</f>
        <v/>
      </c>
      <c r="O6" s="7">
        <f>IF(J6="","",IF(J6&gt;=3,"是","否"))</f>
        <v/>
      </c>
      <c r="P6" s="7">
        <f>IF(OR(F6="",G6=""),"",IF(H6&lt;0.15,"放弃",IF(AND(J6&gt;=3,N6&gt;=25),"加仓","观察")))</f>
        <v/>
      </c>
      <c r="Q6" s="9" t="n"/>
      <c r="R6" s="9" t="n"/>
      <c r="S6" s="8" t="inlineStr">
        <is>
          <t>待核价</t>
        </is>
      </c>
      <c r="T6" s="8" t="inlineStr"/>
      <c r="U6" s="7" t="inlineStr">
        <is>
          <t>← App搜同款·分享·复制链接粘这里</t>
        </is>
      </c>
    </row>
    <row r="7" ht="22" customHeight="1">
      <c r="B7" s="3" t="inlineStr">
        <is>
          <t>jd-2qQeKGOo8tE6mJQZev8r6mJQZev8rQ_31Q63C0rRqG7aq0ixd</t>
        </is>
      </c>
      <c r="C7" s="4" t="inlineStr">
        <is>
          <t xml:space="preserve">adidas「小锯齿」D-PAD CLASSIC美高风篮球风板鞋男女阿迪达斯 白色/蓝色/棕色   41  </t>
        </is>
      </c>
      <c r="D7" s="3" t="n"/>
      <c r="E7" s="3" t="n"/>
      <c r="F7" s="5" t="n">
        <v>319</v>
      </c>
      <c r="G7" s="5" t="n"/>
      <c r="H7" s="6">
        <f>IFERROR(IF(OR(F7="",G7=""),"",(G7-F7)/F7),"")</f>
        <v/>
      </c>
      <c r="I7" s="3" t="n"/>
      <c r="J7" s="3" t="n"/>
      <c r="K7" s="5" t="n"/>
      <c r="L7" s="6" t="n">
        <v>0.05</v>
      </c>
      <c r="M7" s="5" t="n">
        <v>3</v>
      </c>
      <c r="N7" s="5">
        <f>IF(OR(F7="",K7=""),"",K7*(1-L7)-F7-M7)</f>
        <v/>
      </c>
      <c r="O7" s="3">
        <f>IF(J7="","",IF(J7&gt;=3,"是","否"))</f>
        <v/>
      </c>
      <c r="P7" s="3">
        <f>IF(OR(F7="",G7=""),"",IF(H7&lt;0.15,"放弃",IF(AND(J7&gt;=3,N7&gt;=25),"加仓","观察")))</f>
        <v/>
      </c>
      <c r="Q7" s="5" t="n"/>
      <c r="R7" s="5" t="n"/>
      <c r="S7" s="4" t="inlineStr">
        <is>
          <t>待核价</t>
        </is>
      </c>
      <c r="T7" s="4" t="inlineStr"/>
      <c r="U7" s="3" t="inlineStr">
        <is>
          <t>← App搜同款·分享·复制链接粘这里</t>
        </is>
      </c>
    </row>
    <row r="8" ht="22" customHeight="1">
      <c r="B8" s="7" t="inlineStr">
        <is>
          <t>jd-Ee4W5PRJj07hoEncY1UKhoEncY1UK4_3tyFw3LoavWozhLM1l</t>
        </is>
      </c>
      <c r="C8" s="8" t="inlineStr">
        <is>
          <t>adidas ENTRAP美式校园风运动少年感复古篮球风板鞋男女阿迪达斯</t>
        </is>
      </c>
      <c r="D8" s="7" t="n"/>
      <c r="E8" s="7" t="n"/>
      <c r="F8" s="9" t="n">
        <v>309</v>
      </c>
      <c r="G8" s="9" t="n"/>
      <c r="H8" s="10">
        <f>IFERROR(IF(OR(F8="",G8=""),"",(G8-F8)/F8),"")</f>
        <v/>
      </c>
      <c r="I8" s="7" t="n"/>
      <c r="J8" s="7" t="n"/>
      <c r="K8" s="9" t="n"/>
      <c r="L8" s="10" t="n">
        <v>0.05</v>
      </c>
      <c r="M8" s="9" t="n">
        <v>3</v>
      </c>
      <c r="N8" s="9">
        <f>IF(OR(F8="",K8=""),"",K8*(1-L8)-F8-M8)</f>
        <v/>
      </c>
      <c r="O8" s="7">
        <f>IF(J8="","",IF(J8&gt;=3,"是","否"))</f>
        <v/>
      </c>
      <c r="P8" s="7">
        <f>IF(OR(F8="",G8=""),"",IF(H8&lt;0.15,"放弃",IF(AND(J8&gt;=3,N8&gt;=25),"加仓","观察")))</f>
        <v/>
      </c>
      <c r="Q8" s="9" t="n"/>
      <c r="R8" s="9" t="n"/>
      <c r="S8" s="8" t="inlineStr">
        <is>
          <t>待核价</t>
        </is>
      </c>
      <c r="T8" s="8" t="inlineStr"/>
      <c r="U8" s="7" t="inlineStr">
        <is>
          <t>← App搜同款·分享·复制链接粘这里</t>
        </is>
      </c>
    </row>
    <row r="9" ht="22" customHeight="1">
      <c r="B9" s="3" t="inlineStr">
        <is>
          <t>jd-lu4dUZrMDw2A7SkkK4bEA7SkkK4bE4_3PAq5P3t9OZB81P8CB</t>
        </is>
      </c>
      <c r="C9" s="4" t="inlineStr">
        <is>
          <t>adidas「闪回鞋」RESPONSE CL经典贴合老爹鞋男女阿迪达斯三叶草   灰色/深绿色/晶白   42</t>
        </is>
      </c>
      <c r="D9" s="3" t="n"/>
      <c r="E9" s="3" t="n"/>
      <c r="F9" s="5" t="n">
        <v>354</v>
      </c>
      <c r="G9" s="5" t="n"/>
      <c r="H9" s="6">
        <f>IFERROR(IF(OR(F9="",G9=""),"",(G9-F9)/F9),"")</f>
        <v/>
      </c>
      <c r="I9" s="3" t="n"/>
      <c r="J9" s="3" t="n"/>
      <c r="K9" s="5" t="n"/>
      <c r="L9" s="6" t="n">
        <v>0.05</v>
      </c>
      <c r="M9" s="5" t="n">
        <v>3</v>
      </c>
      <c r="N9" s="5">
        <f>IF(OR(F9="",K9=""),"",K9*(1-L9)-F9-M9)</f>
        <v/>
      </c>
      <c r="O9" s="3">
        <f>IF(J9="","",IF(J9&gt;=3,"是","否"))</f>
        <v/>
      </c>
      <c r="P9" s="3">
        <f>IF(OR(F9="",G9=""),"",IF(H9&lt;0.15,"放弃",IF(AND(J9&gt;=3,N9&gt;=25),"加仓","观察")))</f>
        <v/>
      </c>
      <c r="Q9" s="5" t="n"/>
      <c r="R9" s="5" t="n"/>
      <c r="S9" s="4" t="inlineStr">
        <is>
          <t>待核价</t>
        </is>
      </c>
      <c r="T9" s="4" t="inlineStr"/>
      <c r="U9" s="3" t="inlineStr">
        <is>
          <t>← App搜同款·分享·复制链接粘这里</t>
        </is>
      </c>
    </row>
    <row r="10" ht="22" customHeight="1">
      <c r="B10" s="7" t="inlineStr">
        <is>
          <t>jd-ph4N7kTSnkdNgGrKPjB3NgGrKPjB34_373ZMXtqaAk0KmXDWq</t>
        </is>
      </c>
      <c r="C10" s="8" t="inlineStr">
        <is>
          <t xml:space="preserve">adidas 面包鞋 GRAND COURT BASE 00s休闲板鞋平底鞋男女阿迪达斯 黑色/白色/树脂黄(推荐女生选小半码)   42  </t>
        </is>
      </c>
      <c r="D10" s="7" t="n"/>
      <c r="E10" s="7" t="n"/>
      <c r="F10" s="9" t="n">
        <v>219</v>
      </c>
      <c r="G10" s="9" t="n"/>
      <c r="H10" s="10">
        <f>IFERROR(IF(OR(F10="",G10=""),"",(G10-F10)/F10),"")</f>
        <v/>
      </c>
      <c r="I10" s="7" t="n"/>
      <c r="J10" s="7" t="n"/>
      <c r="K10" s="9" t="n"/>
      <c r="L10" s="10" t="n">
        <v>0.05</v>
      </c>
      <c r="M10" s="9" t="n">
        <v>3</v>
      </c>
      <c r="N10" s="9">
        <f>IF(OR(F10="",K10=""),"",K10*(1-L10)-F10-M10)</f>
        <v/>
      </c>
      <c r="O10" s="7">
        <f>IF(J10="","",IF(J10&gt;=3,"是","否"))</f>
        <v/>
      </c>
      <c r="P10" s="7">
        <f>IF(OR(F10="",G10=""),"",IF(H10&lt;0.15,"放弃",IF(AND(J10&gt;=3,N10&gt;=25),"加仓","观察")))</f>
        <v/>
      </c>
      <c r="Q10" s="9" t="n"/>
      <c r="R10" s="9" t="n"/>
      <c r="S10" s="8" t="inlineStr">
        <is>
          <t>待核价</t>
        </is>
      </c>
      <c r="T10" s="8" t="inlineStr"/>
      <c r="U10" s="7" t="inlineStr">
        <is>
          <t>← App搜同款·分享·复制链接粘这里</t>
        </is>
      </c>
    </row>
    <row r="11" ht="22" customHeight="1">
      <c r="B11" s="3" t="inlineStr">
        <is>
          <t>jd-rkQ3qFFUDGBzsautQu9azsautQu9aQ_336U75gP0EF9FWl4dP</t>
        </is>
      </c>
      <c r="C11" s="4" t="inlineStr">
        <is>
          <t>adidas ENTRAP美式校园风运动鞋少年感复古篮球风板鞋阿迪达斯   白色/黑色   42</t>
        </is>
      </c>
      <c r="D11" s="3" t="n"/>
      <c r="E11" s="3" t="n"/>
      <c r="F11" s="5" t="n">
        <v>309</v>
      </c>
      <c r="G11" s="5" t="n"/>
      <c r="H11" s="6">
        <f>IFERROR(IF(OR(F11="",G11=""),"",(G11-F11)/F11),"")</f>
        <v/>
      </c>
      <c r="I11" s="3" t="n"/>
      <c r="J11" s="3" t="n"/>
      <c r="K11" s="5" t="n"/>
      <c r="L11" s="6" t="n">
        <v>0.05</v>
      </c>
      <c r="M11" s="5" t="n">
        <v>3</v>
      </c>
      <c r="N11" s="5">
        <f>IF(OR(F11="",K11=""),"",K11*(1-L11)-F11-M11)</f>
        <v/>
      </c>
      <c r="O11" s="3">
        <f>IF(J11="","",IF(J11&gt;=3,"是","否"))</f>
        <v/>
      </c>
      <c r="P11" s="3">
        <f>IF(OR(F11="",G11=""),"",IF(H11&lt;0.15,"放弃",IF(AND(J11&gt;=3,N11&gt;=25),"加仓","观察")))</f>
        <v/>
      </c>
      <c r="Q11" s="5" t="n"/>
      <c r="R11" s="5" t="n"/>
      <c r="S11" s="4" t="inlineStr">
        <is>
          <t>待核价</t>
        </is>
      </c>
      <c r="T11" s="4" t="inlineStr"/>
      <c r="U11" s="3" t="inlineStr">
        <is>
          <t>← App搜同款·分享·复制链接粘这里</t>
        </is>
      </c>
    </row>
    <row r="12" ht="22" customHeight="1">
      <c r="B12" s="7" t="inlineStr">
        <is>
          <t>jd-Zv4tI5eQfUxLXxoG0Du1LXxoG0Du14_3WEwZIiEwN5h2FcPsr</t>
        </is>
      </c>
      <c r="C12" s="8" t="inlineStr">
        <is>
          <t>adidas休闲加绒加厚连帽卫衣套头衫单穿上衣男秋冬阿迪达斯轻运动   传奇墨水蓝   XL</t>
        </is>
      </c>
      <c r="D12" s="7" t="n"/>
      <c r="E12" s="7" t="n"/>
      <c r="F12" s="9" t="n">
        <v>209</v>
      </c>
      <c r="G12" s="9" t="n"/>
      <c r="H12" s="10">
        <f>IFERROR(IF(OR(F12="",G12=""),"",(G12-F12)/F12),"")</f>
        <v/>
      </c>
      <c r="I12" s="7" t="n"/>
      <c r="J12" s="7" t="n"/>
      <c r="K12" s="9" t="n"/>
      <c r="L12" s="10" t="n">
        <v>0.05</v>
      </c>
      <c r="M12" s="9" t="n">
        <v>3</v>
      </c>
      <c r="N12" s="9">
        <f>IF(OR(F12="",K12=""),"",K12*(1-L12)-F12-M12)</f>
        <v/>
      </c>
      <c r="O12" s="7">
        <f>IF(J12="","",IF(J12&gt;=3,"是","否"))</f>
        <v/>
      </c>
      <c r="P12" s="7">
        <f>IF(OR(F12="",G12=""),"",IF(H12&lt;0.15,"放弃",IF(AND(J12&gt;=3,N12&gt;=25),"加仓","观察")))</f>
        <v/>
      </c>
      <c r="Q12" s="9" t="n"/>
      <c r="R12" s="9" t="n"/>
      <c r="S12" s="8" t="inlineStr">
        <is>
          <t>待核价</t>
        </is>
      </c>
      <c r="T12" s="8" t="inlineStr"/>
      <c r="U12" s="7" t="inlineStr">
        <is>
          <t>← App搜同款·分享·复制链接粘这里</t>
        </is>
      </c>
    </row>
    <row r="13" ht="22" customHeight="1">
      <c r="B13" s="3" t="inlineStr">
        <is>
          <t>jd-MOQsWh2qbaweFyOoCBqWeFyOoCBqWQ_3UIh1p4mYDhAJ7V5KU</t>
        </is>
      </c>
      <c r="C13" s="4" t="inlineStr">
        <is>
          <t xml:space="preserve">adidas 600蓬保暖连帽鸭绒羽绒服夹克外套男女秋冬阿迪达斯轻运动 黑色(推荐选大一码)   M  </t>
        </is>
      </c>
      <c r="D13" s="3" t="n"/>
      <c r="E13" s="3" t="n"/>
      <c r="F13" s="5" t="n">
        <v>519</v>
      </c>
      <c r="G13" s="5" t="n"/>
      <c r="H13" s="6">
        <f>IFERROR(IF(OR(F13="",G13=""),"",(G13-F13)/F13),"")</f>
        <v/>
      </c>
      <c r="I13" s="3" t="n"/>
      <c r="J13" s="3" t="n"/>
      <c r="K13" s="5" t="n"/>
      <c r="L13" s="6" t="n">
        <v>0.05</v>
      </c>
      <c r="M13" s="5" t="n">
        <v>3</v>
      </c>
      <c r="N13" s="5">
        <f>IF(OR(F13="",K13=""),"",K13*(1-L13)-F13-M13)</f>
        <v/>
      </c>
      <c r="O13" s="3">
        <f>IF(J13="","",IF(J13&gt;=3,"是","否"))</f>
        <v/>
      </c>
      <c r="P13" s="3">
        <f>IF(OR(F13="",G13=""),"",IF(H13&lt;0.15,"放弃",IF(AND(J13&gt;=3,N13&gt;=25),"加仓","观察")))</f>
        <v/>
      </c>
      <c r="Q13" s="5" t="n"/>
      <c r="R13" s="5" t="n"/>
      <c r="S13" s="4" t="inlineStr">
        <is>
          <t>待核价</t>
        </is>
      </c>
      <c r="T13" s="4" t="inlineStr"/>
      <c r="U13" s="3" t="inlineStr">
        <is>
          <t>← App搜同款·分享·复制链接粘这里</t>
        </is>
      </c>
    </row>
    <row r="14" ht="22" customHeight="1">
      <c r="B14" s="7" t="inlineStr">
        <is>
          <t>jd-6xXY8S53fHrbKnGqqmr0bKnGqqmr0X_3opDrtnmotSpoCTT1T</t>
        </is>
      </c>
      <c r="C14" s="8" t="inlineStr">
        <is>
          <t>adidas ENTRAP少年感复古篮球风板鞋平底鞋男女阿迪达斯轻运动   亮白/浅灰/黑色/浅蓝   37</t>
        </is>
      </c>
      <c r="D14" s="7" t="n"/>
      <c r="E14" s="7" t="n"/>
      <c r="F14" s="9" t="n">
        <v>284</v>
      </c>
      <c r="G14" s="9" t="n"/>
      <c r="H14" s="10">
        <f>IFERROR(IF(OR(F14="",G14=""),"",(G14-F14)/F14),"")</f>
        <v/>
      </c>
      <c r="I14" s="7" t="n"/>
      <c r="J14" s="7" t="n"/>
      <c r="K14" s="9" t="n"/>
      <c r="L14" s="10" t="n">
        <v>0.05</v>
      </c>
      <c r="M14" s="9" t="n">
        <v>3</v>
      </c>
      <c r="N14" s="9">
        <f>IF(OR(F14="",K14=""),"",K14*(1-L14)-F14-M14)</f>
        <v/>
      </c>
      <c r="O14" s="7">
        <f>IF(J14="","",IF(J14&gt;=3,"是","否"))</f>
        <v/>
      </c>
      <c r="P14" s="7">
        <f>IF(OR(F14="",G14=""),"",IF(H14&lt;0.15,"放弃",IF(AND(J14&gt;=3,N14&gt;=25),"加仓","观察")))</f>
        <v/>
      </c>
      <c r="Q14" s="9" t="n"/>
      <c r="R14" s="9" t="n"/>
      <c r="S14" s="8" t="inlineStr">
        <is>
          <t>待核价</t>
        </is>
      </c>
      <c r="T14" s="8" t="inlineStr"/>
      <c r="U14" s="7" t="inlineStr">
        <is>
          <t>← App搜同款·分享·复制链接粘这里</t>
        </is>
      </c>
    </row>
    <row r="15" ht="22" customHeight="1">
      <c r="B15" s="3" t="inlineStr">
        <is>
          <t>jd-BFQAJ8UmtDqw9oKn7aP7w9oKn7aP7Q_3hj3LwOh1a8eoG8JoK</t>
        </is>
      </c>
      <c r="C15" s="4" t="inlineStr">
        <is>
          <t>匡威（Converse）莫尔登All Star夏季男女板鞋中帮帆布小白鞋A00812C A00812C 42.5</t>
        </is>
      </c>
      <c r="D15" s="3" t="n"/>
      <c r="E15" s="3" t="n"/>
      <c r="F15" s="5" t="n">
        <v>249</v>
      </c>
      <c r="G15" s="5" t="n"/>
      <c r="H15" s="6">
        <f>IFERROR(IF(OR(F15="",G15=""),"",(G15-F15)/F15),"")</f>
        <v/>
      </c>
      <c r="I15" s="3" t="n"/>
      <c r="J15" s="3" t="n"/>
      <c r="K15" s="5" t="n"/>
      <c r="L15" s="6" t="n">
        <v>0.05</v>
      </c>
      <c r="M15" s="5" t="n">
        <v>3</v>
      </c>
      <c r="N15" s="5">
        <f>IF(OR(F15="",K15=""),"",K15*(1-L15)-F15-M15)</f>
        <v/>
      </c>
      <c r="O15" s="3">
        <f>IF(J15="","",IF(J15&gt;=3,"是","否"))</f>
        <v/>
      </c>
      <c r="P15" s="3">
        <f>IF(OR(F15="",G15=""),"",IF(H15&lt;0.15,"放弃",IF(AND(J15&gt;=3,N15&gt;=25),"加仓","观察")))</f>
        <v/>
      </c>
      <c r="Q15" s="5" t="n"/>
      <c r="R15" s="5" t="n"/>
      <c r="S15" s="4" t="inlineStr">
        <is>
          <t>待核价</t>
        </is>
      </c>
      <c r="T15" s="4" t="inlineStr"/>
      <c r="U15" s="3" t="inlineStr">
        <is>
          <t>← App搜同款·分享·复制链接粘这里</t>
        </is>
      </c>
    </row>
    <row r="16" ht="22" customHeight="1">
      <c r="B16" s="7" t="inlineStr">
        <is>
          <t>jd-Ip47p46sefZQZCRp3iWYQZCRp3iWY4_3NM1doBNOJ4NbKm379</t>
        </is>
      </c>
      <c r="C16" s="8" t="inlineStr">
        <is>
          <t>雪中飞秋冬新款男式轻薄羽绒服马甲基础男士短款羽绒秋马甲质感 宝石黑|8086 XL 180/100A</t>
        </is>
      </c>
      <c r="D16" s="7" t="n"/>
      <c r="E16" s="7" t="n"/>
      <c r="F16" s="9" t="n">
        <v>79</v>
      </c>
      <c r="G16" s="9" t="n"/>
      <c r="H16" s="10">
        <f>IFERROR(IF(OR(F16="",G16=""),"",(G16-F16)/F16),"")</f>
        <v/>
      </c>
      <c r="I16" s="7" t="n"/>
      <c r="J16" s="7" t="n"/>
      <c r="K16" s="9" t="n"/>
      <c r="L16" s="10" t="n">
        <v>0.05</v>
      </c>
      <c r="M16" s="9" t="n">
        <v>3</v>
      </c>
      <c r="N16" s="9">
        <f>IF(OR(F16="",K16=""),"",K16*(1-L16)-F16-M16)</f>
        <v/>
      </c>
      <c r="O16" s="7">
        <f>IF(J16="","",IF(J16&gt;=3,"是","否"))</f>
        <v/>
      </c>
      <c r="P16" s="7">
        <f>IF(OR(F16="",G16=""),"",IF(H16&lt;0.15,"放弃",IF(AND(J16&gt;=3,N16&gt;=25),"加仓","观察")))</f>
        <v/>
      </c>
      <c r="Q16" s="9" t="n"/>
      <c r="R16" s="9" t="n"/>
      <c r="S16" s="8" t="inlineStr">
        <is>
          <t>待核价</t>
        </is>
      </c>
      <c r="T16" s="8" t="inlineStr"/>
      <c r="U16" s="7" t="inlineStr">
        <is>
          <t>← App搜同款·分享·复制链接粘这里</t>
        </is>
      </c>
    </row>
    <row r="17" ht="22" customHeight="1">
      <c r="B17" s="3" t="inlineStr">
        <is>
          <t>jd-05QSuAGkxEvcCqMrws50cCqMrws50Q_3ghOeVWBK5SCER5KYF</t>
        </is>
      </c>
      <c r="C17" s="4" t="inlineStr">
        <is>
          <t>理肤泉【黄子弘凡同款】B5霜40ml+B5水50ml套装修护保湿面霜护肤品</t>
        </is>
      </c>
      <c r="D17" s="3" t="n"/>
      <c r="E17" s="3" t="n"/>
      <c r="F17" s="5" t="n">
        <v>90</v>
      </c>
      <c r="G17" s="5" t="n"/>
      <c r="H17" s="6">
        <f>IFERROR(IF(OR(F17="",G17=""),"",(G17-F17)/F17),"")</f>
        <v/>
      </c>
      <c r="I17" s="3" t="n"/>
      <c r="J17" s="3" t="n"/>
      <c r="K17" s="5" t="n"/>
      <c r="L17" s="6" t="n">
        <v>0.05</v>
      </c>
      <c r="M17" s="5" t="n">
        <v>3</v>
      </c>
      <c r="N17" s="5">
        <f>IF(OR(F17="",K17=""),"",K17*(1-L17)-F17-M17)</f>
        <v/>
      </c>
      <c r="O17" s="3">
        <f>IF(J17="","",IF(J17&gt;=3,"是","否"))</f>
        <v/>
      </c>
      <c r="P17" s="3">
        <f>IF(OR(F17="",G17=""),"",IF(H17&lt;0.15,"放弃",IF(AND(J17&gt;=3,N17&gt;=25),"加仓","观察")))</f>
        <v/>
      </c>
      <c r="Q17" s="5" t="n"/>
      <c r="R17" s="5" t="n"/>
      <c r="S17" s="4" t="inlineStr">
        <is>
          <t>待核价</t>
        </is>
      </c>
      <c r="T17" s="4" t="inlineStr"/>
      <c r="U17" s="3" t="inlineStr">
        <is>
          <t>← App搜同款·分享·复制链接粘这里</t>
        </is>
      </c>
    </row>
    <row r="18" ht="22" customHeight="1">
      <c r="B18" s="7" t="inlineStr">
        <is>
          <t>jd-wAQEbTBH1PTwDjlR5U9hwDjlR5U9hQ_3ioMtB1s3UTa9rGCVX</t>
        </is>
      </c>
      <c r="C18" s="8" t="inlineStr">
        <is>
          <t>林清轩精华油4.0山茶花面部精华油以油养肤修护屏障淡纹节日礼物送女友 50ml精华油</t>
        </is>
      </c>
      <c r="D18" s="7" t="n"/>
      <c r="E18" s="7" t="n"/>
      <c r="F18" s="9" t="n">
        <v>28</v>
      </c>
      <c r="G18" s="9" t="n"/>
      <c r="H18" s="10">
        <f>IFERROR(IF(OR(F18="",G18=""),"",(G18-F18)/F18),"")</f>
        <v/>
      </c>
      <c r="I18" s="7" t="n"/>
      <c r="J18" s="7" t="n"/>
      <c r="K18" s="9" t="n"/>
      <c r="L18" s="10" t="n">
        <v>0.05</v>
      </c>
      <c r="M18" s="9" t="n">
        <v>3</v>
      </c>
      <c r="N18" s="9">
        <f>IF(OR(F18="",K18=""),"",K18*(1-L18)-F18-M18)</f>
        <v/>
      </c>
      <c r="O18" s="7">
        <f>IF(J18="","",IF(J18&gt;=3,"是","否"))</f>
        <v/>
      </c>
      <c r="P18" s="7">
        <f>IF(OR(F18="",G18=""),"",IF(H18&lt;0.15,"放弃",IF(AND(J18&gt;=3,N18&gt;=25),"加仓","观察")))</f>
        <v/>
      </c>
      <c r="Q18" s="9" t="n"/>
      <c r="R18" s="9" t="n"/>
      <c r="S18" s="8" t="inlineStr">
        <is>
          <t>待核价</t>
        </is>
      </c>
      <c r="T18" s="8" t="inlineStr"/>
      <c r="U18" s="7" t="inlineStr">
        <is>
          <t>← App搜同款·分享·复制链接粘这里</t>
        </is>
      </c>
    </row>
    <row r="19" ht="22" customHeight="1">
      <c r="B19" s="3" t="inlineStr">
        <is>
          <t>jd-qp4cyX8p7tnYt0oi4bONYt0oi4bON4_3JKSxG0iK1ccJCJx3B</t>
        </is>
      </c>
      <c r="C19" s="4" t="inlineStr">
        <is>
          <t>薇诺娜【全红婵同款】薇诺娜舒敏保湿特护精萃水120ml爽肤水修护礼物</t>
        </is>
      </c>
      <c r="D19" s="3" t="n"/>
      <c r="E19" s="3" t="n"/>
      <c r="F19" s="5" t="n">
        <v>139</v>
      </c>
      <c r="G19" s="5" t="n"/>
      <c r="H19" s="6">
        <f>IFERROR(IF(OR(F19="",G19=""),"",(G19-F19)/F19),"")</f>
        <v/>
      </c>
      <c r="I19" s="3" t="n"/>
      <c r="J19" s="3" t="n"/>
      <c r="K19" s="5" t="n"/>
      <c r="L19" s="6" t="n">
        <v>0.05</v>
      </c>
      <c r="M19" s="5" t="n">
        <v>3</v>
      </c>
      <c r="N19" s="5">
        <f>IF(OR(F19="",K19=""),"",K19*(1-L19)-F19-M19)</f>
        <v/>
      </c>
      <c r="O19" s="3">
        <f>IF(J19="","",IF(J19&gt;=3,"是","否"))</f>
        <v/>
      </c>
      <c r="P19" s="3">
        <f>IF(OR(F19="",G19=""),"",IF(H19&lt;0.15,"放弃",IF(AND(J19&gt;=3,N19&gt;=25),"加仓","观察")))</f>
        <v/>
      </c>
      <c r="Q19" s="5" t="n"/>
      <c r="R19" s="5" t="n"/>
      <c r="S19" s="4" t="inlineStr">
        <is>
          <t>待核价</t>
        </is>
      </c>
      <c r="T19" s="4" t="inlineStr"/>
      <c r="U19" s="3" t="inlineStr">
        <is>
          <t>← App搜同款·分享·复制链接粘这里</t>
        </is>
      </c>
    </row>
    <row r="21" ht="42" customHeight="1">
      <c r="B21" s="11" t="inlineStr">
        <is>
          <t>B列ID勿删。F列为联盟参考价，指定规格和券条件需复核；G列可记当前得物报价。分享链接只能补充款式信息，不能自动获取实时卖价。正式核价需记录双方货号、颜色、尺码、时间及截图依据，按INDEPENDENT.md写入verified_quotes.json；超过24小时重新核价。默认费率仅作估算，实际费用需核实。</t>
        </is>
      </c>
    </row>
  </sheetData>
  <mergeCells count="2">
    <mergeCell ref="B21:U21"/>
    <mergeCell ref="B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2026-10-18T22:18:27Z</dcterms:created>
  <dcterms:modified xsi:type="dcterms:W3CDTF">2026-10-18T22:18:27Z</dcterms:modified>
</cp:coreProperties>
</file>